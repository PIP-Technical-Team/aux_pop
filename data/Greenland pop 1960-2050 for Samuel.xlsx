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b225846\Downloads\"/>
    </mc:Choice>
  </mc:AlternateContent>
  <xr:revisionPtr revIDLastSave="0" documentId="13_ncr:1_{DDFC094B-19C9-4F45-8E28-02F1229A5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L" sheetId="1" r:id="rId1"/>
    <sheet name="working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C4" i="2"/>
  <c r="B6" i="2"/>
  <c r="C6" i="2" s="1"/>
  <c r="C7" i="2" l="1"/>
  <c r="D6" i="2"/>
  <c r="E6" i="2" l="1"/>
  <c r="D7" i="2"/>
  <c r="F6" i="2" l="1"/>
  <c r="E7" i="2"/>
  <c r="G6" i="2" l="1"/>
  <c r="F7" i="2"/>
  <c r="H6" i="2" l="1"/>
  <c r="G7" i="2"/>
  <c r="I6" i="2" l="1"/>
  <c r="H7" i="2"/>
  <c r="J6" i="2" l="1"/>
  <c r="I7" i="2"/>
  <c r="K6" i="2" l="1"/>
  <c r="J7" i="2"/>
  <c r="L6" i="2" l="1"/>
  <c r="K7" i="2"/>
  <c r="M6" i="2" l="1"/>
  <c r="L7" i="2"/>
  <c r="N6" i="2" l="1"/>
  <c r="M7" i="2"/>
  <c r="O6" i="2" l="1"/>
  <c r="N7" i="2"/>
  <c r="P6" i="2" l="1"/>
  <c r="O7" i="2"/>
  <c r="Q6" i="2" l="1"/>
  <c r="P7" i="2"/>
  <c r="R6" i="2" l="1"/>
  <c r="Q7" i="2"/>
  <c r="S6" i="2" l="1"/>
  <c r="R7" i="2"/>
  <c r="T6" i="2" l="1"/>
  <c r="S7" i="2"/>
  <c r="U6" i="2" l="1"/>
  <c r="T7" i="2"/>
  <c r="V6" i="2" l="1"/>
  <c r="U7" i="2"/>
  <c r="W6" i="2" l="1"/>
  <c r="V7" i="2"/>
  <c r="X6" i="2" l="1"/>
  <c r="W7" i="2"/>
  <c r="Y6" i="2" l="1"/>
  <c r="X7" i="2"/>
  <c r="Z6" i="2" l="1"/>
  <c r="Y7" i="2"/>
  <c r="AA6" i="2" l="1"/>
  <c r="Z7" i="2"/>
  <c r="AB6" i="2" l="1"/>
  <c r="AB7" i="2" s="1"/>
  <c r="AA7" i="2"/>
</calcChain>
</file>

<file path=xl/sharedStrings.xml><?xml version="1.0" encoding="utf-8"?>
<sst xmlns="http://schemas.openxmlformats.org/spreadsheetml/2006/main" count="116" uniqueCount="112">
  <si>
    <t>Time_Name</t>
  </si>
  <si>
    <t>Time</t>
  </si>
  <si>
    <t>YR1960</t>
  </si>
  <si>
    <t>YR1961</t>
  </si>
  <si>
    <t>YR1962</t>
  </si>
  <si>
    <t>YR1963</t>
  </si>
  <si>
    <t>YR1964</t>
  </si>
  <si>
    <t>YR1965</t>
  </si>
  <si>
    <t>YR1966</t>
  </si>
  <si>
    <t>YR1967</t>
  </si>
  <si>
    <t>YR1968</t>
  </si>
  <si>
    <t>YR1969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</si>
  <si>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</si>
  <si>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</si>
  <si>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</si>
  <si>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</si>
  <si>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</si>
  <si>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</si>
  <si>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</si>
  <si>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</si>
  <si>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</si>
  <si>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</si>
  <si>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</si>
  <si>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</si>
  <si>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</si>
  <si>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</si>
  <si>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</si>
  <si>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</si>
  <si>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</si>
  <si>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</si>
  <si>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</si>
  <si>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</si>
  <si>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</si>
  <si>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</si>
  <si>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</si>
  <si>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</si>
  <si>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</si>
  <si>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</si>
  <si>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</si>
  <si>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</si>
  <si>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</si>
  <si>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</si>
  <si>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</si>
  <si>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</si>
  <si>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</si>
  <si>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</si>
  <si>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</si>
  <si>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</si>
  <si>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</si>
  <si>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</si>
  <si>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</si>
  <si>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</si>
  <si>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</si>
  <si>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</si>
  <si>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</si>
  <si>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</si>
  <si>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</si>
  <si>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</si>
  <si>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</si>
  <si>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</si>
  <si>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</si>
  <si>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</si>
  <si>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</si>
  <si>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</si>
  <si>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</si>
  <si>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</si>
  <si>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</si>
  <si>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</si>
  <si>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YR2026</t>
  </si>
  <si>
    <t>YR2027</t>
  </si>
  <si>
    <t>YR2028</t>
  </si>
  <si>
    <t>YR2029</t>
  </si>
  <si>
    <t>YR2030</t>
  </si>
  <si>
    <t>YR2031</t>
  </si>
  <si>
    <t>YR2032</t>
  </si>
  <si>
    <t>YR2033</t>
  </si>
  <si>
    <t>YR2034</t>
  </si>
  <si>
    <t>YR2035</t>
  </si>
  <si>
    <t>YR2036</t>
  </si>
  <si>
    <t>YR2037</t>
  </si>
  <si>
    <t>YR2038</t>
  </si>
  <si>
    <t>YR2039</t>
  </si>
  <si>
    <t>YR2040</t>
  </si>
  <si>
    <t>YR2041</t>
  </si>
  <si>
    <t>YR2042</t>
  </si>
  <si>
    <t>YR2043</t>
  </si>
  <si>
    <t>YR2044</t>
  </si>
  <si>
    <t>YR2045</t>
  </si>
  <si>
    <t>YR2046</t>
  </si>
  <si>
    <t>YR2047</t>
  </si>
  <si>
    <t>YR2048</t>
  </si>
  <si>
    <t>YR2049</t>
  </si>
  <si>
    <t>YR2050</t>
  </si>
  <si>
    <t>Country</t>
  </si>
  <si>
    <t>Country_Name</t>
  </si>
  <si>
    <t>Series</t>
  </si>
  <si>
    <t>Series_Name</t>
  </si>
  <si>
    <t>SCALE</t>
  </si>
  <si>
    <t>GRL</t>
  </si>
  <si>
    <t>Greenland</t>
  </si>
  <si>
    <t>SP.POP.TOTL</t>
  </si>
  <si>
    <t>Population, total</t>
  </si>
  <si>
    <t>SP.RUR.TOTL</t>
  </si>
  <si>
    <t>Rural population</t>
  </si>
  <si>
    <t>SP.URB.TOTL</t>
  </si>
  <si>
    <t>Urban population</t>
  </si>
  <si>
    <t>Year</t>
  </si>
  <si>
    <t>UN WPP 2024</t>
  </si>
  <si>
    <t>2024 from WDI &amp; extrapolation using WPP24's growth rates</t>
  </si>
  <si>
    <t>intiger</t>
  </si>
  <si>
    <t>Total Population, as of 1 July (thousands), Medium variant</t>
  </si>
  <si>
    <t>r (growth rate) in WPP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</si>
</sst>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0\ ###\ ###\ ##0;\-#.000\ ###\ ###\ ##0;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3" fillId="0" borderId="0" xfId="0" applyNumberFormat="1" applyFont="1" applyAlignment="1">
      <alignment horizontal="right"/>
    </xf>
    <xf numFmtId="0" fontId="2" fillId="2" borderId="1" xfId="0" quotePrefix="1" applyFont="1" applyFill="1" applyBorder="1" applyAlignment="1">
      <alignment horizontal="left" vertical="center" wrapText="1"/>
    </xf>
    <xf numFmtId="0" fontId="2" fillId="2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6"/>
  <sheetViews>
    <sheetView tabSelected="1" workbookViewId="0">
      <pane xSplit="5" ySplit="3" topLeftCell="BP4" activePane="bottomRight" state="frozen"/>
      <selection pane="topRight" activeCell="F1" sqref="F1"/>
      <selection pane="bottomLeft" activeCell="A4" sqref="A4"/>
      <selection pane="bottomRight" activeCell="BS4" sqref="BS4"/>
    </sheetView>
  </sheetViews>
  <sheetFormatPr defaultRowHeight="15" x14ac:dyDescent="0.25"/>
  <cols>
    <col min="1" max="1" width="5.28515625" customWidth="1"/>
    <col min="2" max="2" width="11" customWidth="1"/>
    <col min="3" max="3" width="12.28515625" bestFit="1" customWidth="1"/>
    <col min="4" max="4" width="16.5703125" bestFit="1" customWidth="1"/>
    <col min="5" max="5" width="11.7109375" bestFit="1" customWidth="1"/>
    <col min="6" max="96" width="7.140625" bestFit="1" customWidth="1"/>
  </cols>
  <sheetData>
    <row r="1" spans="1:97" x14ac:dyDescent="0.25">
      <c r="E1" t="s">
        <v>0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>
        <v>2024</v>
      </c>
      <c r="BS1">
        <v>2025</v>
      </c>
      <c r="BT1">
        <v>2026</v>
      </c>
      <c r="BU1">
        <v>2027</v>
      </c>
      <c r="BV1">
        <v>2028</v>
      </c>
      <c r="BW1">
        <v>2029</v>
      </c>
      <c r="BX1">
        <v>2030</v>
      </c>
      <c r="BY1">
        <v>2031</v>
      </c>
      <c r="BZ1">
        <v>2032</v>
      </c>
      <c r="CA1">
        <v>2033</v>
      </c>
      <c r="CB1">
        <v>2034</v>
      </c>
      <c r="CC1">
        <v>2035</v>
      </c>
      <c r="CD1">
        <v>2036</v>
      </c>
      <c r="CE1">
        <v>2037</v>
      </c>
      <c r="CF1">
        <v>2038</v>
      </c>
      <c r="CG1">
        <v>2039</v>
      </c>
      <c r="CH1">
        <v>2040</v>
      </c>
      <c r="CI1">
        <v>2041</v>
      </c>
      <c r="CJ1">
        <v>2042</v>
      </c>
      <c r="CK1">
        <v>2043</v>
      </c>
      <c r="CL1">
        <v>2044</v>
      </c>
      <c r="CM1">
        <v>2045</v>
      </c>
      <c r="CN1">
        <v>2046</v>
      </c>
      <c r="CO1">
        <v>2047</v>
      </c>
      <c r="CP1">
        <v>2048</v>
      </c>
      <c r="CQ1">
        <v>2049</v>
      </c>
      <c r="CR1">
        <v>2050</v>
      </c>
    </row>
    <row r="2" spans="1:97" x14ac:dyDescent="0.2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</row>
    <row r="3" spans="1:97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</row>
    <row r="4" spans="1:97" x14ac:dyDescent="0.25">
      <c r="A4" t="s">
        <v>98</v>
      </c>
      <c r="B4" t="s">
        <v>99</v>
      </c>
      <c r="C4" t="s">
        <v>100</v>
      </c>
      <c r="D4" t="s">
        <v>101</v>
      </c>
      <c r="E4">
        <v>0</v>
      </c>
      <c r="F4">
        <v>32500</v>
      </c>
      <c r="G4">
        <v>33700</v>
      </c>
      <c r="H4">
        <v>35000</v>
      </c>
      <c r="I4">
        <v>36400</v>
      </c>
      <c r="J4">
        <v>37600</v>
      </c>
      <c r="K4">
        <v>39200</v>
      </c>
      <c r="L4">
        <v>40500</v>
      </c>
      <c r="M4">
        <v>41900</v>
      </c>
      <c r="N4">
        <v>43400</v>
      </c>
      <c r="O4">
        <v>44900</v>
      </c>
      <c r="P4">
        <v>46400</v>
      </c>
      <c r="Q4">
        <v>47200</v>
      </c>
      <c r="R4">
        <v>48300</v>
      </c>
      <c r="S4">
        <v>49000</v>
      </c>
      <c r="T4">
        <v>49500</v>
      </c>
      <c r="U4">
        <v>49600</v>
      </c>
      <c r="V4">
        <v>49700</v>
      </c>
      <c r="W4">
        <v>49400</v>
      </c>
      <c r="X4">
        <v>49200</v>
      </c>
      <c r="Y4">
        <v>49600</v>
      </c>
      <c r="Z4">
        <v>50200</v>
      </c>
      <c r="AA4">
        <v>51000</v>
      </c>
      <c r="AB4">
        <v>51500</v>
      </c>
      <c r="AC4">
        <v>52100</v>
      </c>
      <c r="AD4">
        <v>52700</v>
      </c>
      <c r="AE4">
        <v>53200</v>
      </c>
      <c r="AF4">
        <v>53500</v>
      </c>
      <c r="AG4">
        <v>54100</v>
      </c>
      <c r="AH4">
        <v>54800</v>
      </c>
      <c r="AI4">
        <v>55300</v>
      </c>
      <c r="AJ4">
        <v>55600</v>
      </c>
      <c r="AK4">
        <v>55500</v>
      </c>
      <c r="AL4">
        <v>55300</v>
      </c>
      <c r="AM4">
        <v>55200</v>
      </c>
      <c r="AN4">
        <v>55500</v>
      </c>
      <c r="AO4">
        <v>55800</v>
      </c>
      <c r="AP4">
        <v>55900</v>
      </c>
      <c r="AQ4">
        <v>56000</v>
      </c>
      <c r="AR4">
        <v>56100</v>
      </c>
      <c r="AS4">
        <v>56100</v>
      </c>
      <c r="AT4">
        <v>56185</v>
      </c>
      <c r="AU4">
        <v>56379</v>
      </c>
      <c r="AV4">
        <v>56595</v>
      </c>
      <c r="AW4">
        <v>56751</v>
      </c>
      <c r="AX4">
        <v>56898</v>
      </c>
      <c r="AY4">
        <v>56935</v>
      </c>
      <c r="AZ4">
        <v>56775</v>
      </c>
      <c r="BA4">
        <v>56555</v>
      </c>
      <c r="BB4">
        <v>56328</v>
      </c>
      <c r="BC4">
        <v>56323</v>
      </c>
      <c r="BD4">
        <v>56534</v>
      </c>
      <c r="BE4">
        <v>56890</v>
      </c>
      <c r="BF4">
        <v>56810</v>
      </c>
      <c r="BG4">
        <v>56483</v>
      </c>
      <c r="BH4">
        <v>56295</v>
      </c>
      <c r="BI4">
        <v>56114</v>
      </c>
      <c r="BJ4">
        <v>56186</v>
      </c>
      <c r="BK4">
        <v>56172</v>
      </c>
      <c r="BL4">
        <v>56023</v>
      </c>
      <c r="BM4">
        <v>56225</v>
      </c>
      <c r="BN4">
        <v>56367</v>
      </c>
      <c r="BO4">
        <v>56653</v>
      </c>
      <c r="BP4">
        <v>56661</v>
      </c>
      <c r="BQ4">
        <v>56865</v>
      </c>
      <c r="BR4">
        <v>56836</v>
      </c>
      <c r="BS4" s="7">
        <v>56739</v>
      </c>
      <c r="BT4" s="7">
        <v>56621</v>
      </c>
      <c r="BU4" s="7">
        <v>56488</v>
      </c>
      <c r="BV4" s="7">
        <v>56354</v>
      </c>
      <c r="BW4" s="7">
        <v>56202</v>
      </c>
      <c r="BX4" s="7">
        <v>56032</v>
      </c>
      <c r="BY4" s="7">
        <v>55857</v>
      </c>
      <c r="BZ4" s="7">
        <v>55656</v>
      </c>
      <c r="CA4" s="7">
        <v>55435</v>
      </c>
      <c r="CB4" s="7">
        <v>55207</v>
      </c>
      <c r="CC4" s="7">
        <v>54963</v>
      </c>
      <c r="CD4" s="7">
        <v>54707</v>
      </c>
      <c r="CE4" s="7">
        <v>54440</v>
      </c>
      <c r="CF4" s="7">
        <v>54168</v>
      </c>
      <c r="CG4" s="7">
        <v>53896</v>
      </c>
      <c r="CH4" s="7">
        <v>53611</v>
      </c>
      <c r="CI4" s="7">
        <v>53326</v>
      </c>
      <c r="CJ4" s="7">
        <v>53047</v>
      </c>
      <c r="CK4" s="7">
        <v>52762</v>
      </c>
      <c r="CL4" s="7">
        <v>52470</v>
      </c>
      <c r="CM4" s="7">
        <v>52180</v>
      </c>
      <c r="CN4" s="7">
        <v>51895</v>
      </c>
      <c r="CO4" s="7">
        <v>51608</v>
      </c>
      <c r="CP4" s="7">
        <v>51321</v>
      </c>
      <c r="CQ4" s="7">
        <v>51049</v>
      </c>
      <c r="CR4" s="7">
        <v>50788</v>
      </c>
    </row>
    <row r="5" spans="1:97" x14ac:dyDescent="0.25">
      <c r="A5" t="s">
        <v>98</v>
      </c>
      <c r="B5" t="s">
        <v>99</v>
      </c>
      <c r="C5" t="s">
        <v>102</v>
      </c>
      <c r="D5" t="s">
        <v>103</v>
      </c>
      <c r="E5">
        <v>0</v>
      </c>
      <c r="F5">
        <v>13569</v>
      </c>
      <c r="G5">
        <v>13554</v>
      </c>
      <c r="H5">
        <v>13310</v>
      </c>
      <c r="I5">
        <v>12905</v>
      </c>
      <c r="J5">
        <v>12386</v>
      </c>
      <c r="K5">
        <v>12154</v>
      </c>
      <c r="L5">
        <v>12049</v>
      </c>
      <c r="M5">
        <v>12078</v>
      </c>
      <c r="N5">
        <v>12171</v>
      </c>
      <c r="O5">
        <v>12305</v>
      </c>
      <c r="P5">
        <v>12487</v>
      </c>
      <c r="Q5">
        <v>12528</v>
      </c>
      <c r="R5">
        <v>12690</v>
      </c>
      <c r="S5">
        <v>12771</v>
      </c>
      <c r="T5">
        <v>12809</v>
      </c>
      <c r="U5">
        <v>12735</v>
      </c>
      <c r="V5">
        <v>12636</v>
      </c>
      <c r="W5">
        <v>12377</v>
      </c>
      <c r="X5">
        <v>12208</v>
      </c>
      <c r="Y5">
        <v>11987</v>
      </c>
      <c r="Z5">
        <v>11852</v>
      </c>
      <c r="AA5">
        <v>11846</v>
      </c>
      <c r="AB5">
        <v>11779</v>
      </c>
      <c r="AC5">
        <v>11718</v>
      </c>
      <c r="AD5">
        <v>11593</v>
      </c>
      <c r="AE5">
        <v>11432</v>
      </c>
      <c r="AF5">
        <v>11182</v>
      </c>
      <c r="AG5">
        <v>11132</v>
      </c>
      <c r="AH5">
        <v>11210</v>
      </c>
      <c r="AI5">
        <v>11205</v>
      </c>
      <c r="AJ5">
        <v>11135</v>
      </c>
      <c r="AK5">
        <v>11003</v>
      </c>
      <c r="AL5">
        <v>10895</v>
      </c>
      <c r="AM5">
        <v>10782</v>
      </c>
      <c r="AN5">
        <v>10659</v>
      </c>
      <c r="AO5">
        <v>10570</v>
      </c>
      <c r="AP5">
        <v>10584</v>
      </c>
      <c r="AQ5">
        <v>10599</v>
      </c>
      <c r="AR5">
        <v>10592</v>
      </c>
      <c r="AS5">
        <v>10566</v>
      </c>
      <c r="AT5">
        <v>10421</v>
      </c>
      <c r="AU5">
        <v>10266</v>
      </c>
      <c r="AV5">
        <v>10144</v>
      </c>
      <c r="AW5">
        <v>10017</v>
      </c>
      <c r="AX5">
        <v>9921</v>
      </c>
      <c r="AY5">
        <v>9855</v>
      </c>
      <c r="AZ5">
        <v>9739</v>
      </c>
      <c r="BA5">
        <v>9499</v>
      </c>
      <c r="BB5">
        <v>9225</v>
      </c>
      <c r="BC5">
        <v>9093</v>
      </c>
      <c r="BD5">
        <v>8888</v>
      </c>
      <c r="BE5">
        <v>8802</v>
      </c>
      <c r="BF5">
        <v>8586</v>
      </c>
      <c r="BG5">
        <v>8262</v>
      </c>
      <c r="BH5">
        <v>8063</v>
      </c>
      <c r="BI5">
        <v>7830</v>
      </c>
      <c r="BJ5">
        <v>7739</v>
      </c>
      <c r="BK5">
        <v>7644</v>
      </c>
      <c r="BL5">
        <v>7437</v>
      </c>
      <c r="BM5">
        <v>7297</v>
      </c>
      <c r="BN5">
        <v>7168</v>
      </c>
      <c r="BO5">
        <v>7056</v>
      </c>
      <c r="BP5">
        <v>6910</v>
      </c>
      <c r="BQ5">
        <v>6788</v>
      </c>
      <c r="BR5">
        <v>6639</v>
      </c>
      <c r="BS5" s="7">
        <v>6483</v>
      </c>
      <c r="BT5" s="7">
        <v>6327</v>
      </c>
      <c r="BU5" s="7">
        <v>6171</v>
      </c>
      <c r="BV5" s="7">
        <v>6016</v>
      </c>
      <c r="BW5" s="7">
        <v>5863</v>
      </c>
      <c r="BX5" s="7">
        <v>5709</v>
      </c>
      <c r="BY5" s="7">
        <v>5558</v>
      </c>
      <c r="BZ5" s="7">
        <v>5407</v>
      </c>
      <c r="CA5" s="7">
        <v>5257</v>
      </c>
      <c r="CB5" s="7">
        <v>5109</v>
      </c>
      <c r="CC5" s="7">
        <v>4963</v>
      </c>
      <c r="CD5" s="7">
        <v>4819</v>
      </c>
      <c r="CE5" s="7">
        <v>4678</v>
      </c>
      <c r="CF5" s="7">
        <v>4540</v>
      </c>
      <c r="CG5" s="7">
        <v>4405</v>
      </c>
      <c r="CH5" s="7">
        <v>4273</v>
      </c>
      <c r="CI5" s="7">
        <v>4145</v>
      </c>
      <c r="CJ5" s="7">
        <v>4022</v>
      </c>
      <c r="CK5" s="7">
        <v>3901</v>
      </c>
      <c r="CL5" s="7">
        <v>3784</v>
      </c>
      <c r="CM5" s="7">
        <v>3672</v>
      </c>
      <c r="CN5" s="7">
        <v>3564</v>
      </c>
      <c r="CO5" s="7">
        <v>3459</v>
      </c>
      <c r="CP5" s="7">
        <v>3359</v>
      </c>
      <c r="CQ5" s="7">
        <v>3265</v>
      </c>
      <c r="CR5" s="7">
        <v>3175</v>
      </c>
      <c r="CS5" s="7"/>
    </row>
    <row r="6" spans="1:97" x14ac:dyDescent="0.25">
      <c r="A6" t="s">
        <v>98</v>
      </c>
      <c r="B6" t="s">
        <v>99</v>
      </c>
      <c r="C6" t="s">
        <v>104</v>
      </c>
      <c r="D6" t="s">
        <v>105</v>
      </c>
      <c r="E6">
        <v>0</v>
      </c>
      <c r="F6">
        <v>18931</v>
      </c>
      <c r="G6">
        <v>20146</v>
      </c>
      <c r="H6">
        <v>21690</v>
      </c>
      <c r="I6">
        <v>23495</v>
      </c>
      <c r="J6">
        <v>25214</v>
      </c>
      <c r="K6">
        <v>27046</v>
      </c>
      <c r="L6">
        <v>28451</v>
      </c>
      <c r="M6">
        <v>29822</v>
      </c>
      <c r="N6">
        <v>31229</v>
      </c>
      <c r="O6">
        <v>32595</v>
      </c>
      <c r="P6">
        <v>33913</v>
      </c>
      <c r="Q6">
        <v>34672</v>
      </c>
      <c r="R6">
        <v>35610</v>
      </c>
      <c r="S6">
        <v>36229</v>
      </c>
      <c r="T6">
        <v>36691</v>
      </c>
      <c r="U6">
        <v>36865</v>
      </c>
      <c r="V6">
        <v>37064</v>
      </c>
      <c r="W6">
        <v>37023</v>
      </c>
      <c r="X6">
        <v>36992</v>
      </c>
      <c r="Y6">
        <v>37613</v>
      </c>
      <c r="Z6">
        <v>38348</v>
      </c>
      <c r="AA6">
        <v>39154</v>
      </c>
      <c r="AB6">
        <v>39721</v>
      </c>
      <c r="AC6">
        <v>40382</v>
      </c>
      <c r="AD6">
        <v>41107</v>
      </c>
      <c r="AE6">
        <v>41768</v>
      </c>
      <c r="AF6">
        <v>42318</v>
      </c>
      <c r="AG6">
        <v>42968</v>
      </c>
      <c r="AH6">
        <v>43590</v>
      </c>
      <c r="AI6">
        <v>44095</v>
      </c>
      <c r="AJ6">
        <v>44465</v>
      </c>
      <c r="AK6">
        <v>44497</v>
      </c>
      <c r="AL6">
        <v>44405</v>
      </c>
      <c r="AM6">
        <v>44418</v>
      </c>
      <c r="AN6">
        <v>44841</v>
      </c>
      <c r="AO6">
        <v>45230</v>
      </c>
      <c r="AP6">
        <v>45316</v>
      </c>
      <c r="AQ6">
        <v>45401</v>
      </c>
      <c r="AR6">
        <v>45508</v>
      </c>
      <c r="AS6">
        <v>45534</v>
      </c>
      <c r="AT6">
        <v>45764</v>
      </c>
      <c r="AU6">
        <v>46113</v>
      </c>
      <c r="AV6">
        <v>46451</v>
      </c>
      <c r="AW6">
        <v>46734</v>
      </c>
      <c r="AX6">
        <v>46977</v>
      </c>
      <c r="AY6">
        <v>47080</v>
      </c>
      <c r="AZ6">
        <v>47036</v>
      </c>
      <c r="BA6">
        <v>47056</v>
      </c>
      <c r="BB6">
        <v>47103</v>
      </c>
      <c r="BC6">
        <v>47230</v>
      </c>
      <c r="BD6">
        <v>47646</v>
      </c>
      <c r="BE6">
        <v>48088</v>
      </c>
      <c r="BF6">
        <v>48224</v>
      </c>
      <c r="BG6">
        <v>48221</v>
      </c>
      <c r="BH6">
        <v>48232</v>
      </c>
      <c r="BI6">
        <v>48284</v>
      </c>
      <c r="BJ6">
        <v>48447</v>
      </c>
      <c r="BK6">
        <v>48528</v>
      </c>
      <c r="BL6">
        <v>48586</v>
      </c>
      <c r="BM6">
        <v>48928</v>
      </c>
      <c r="BN6">
        <v>49199</v>
      </c>
      <c r="BO6">
        <v>49597</v>
      </c>
      <c r="BP6">
        <v>49751</v>
      </c>
      <c r="BQ6">
        <v>50077</v>
      </c>
      <c r="BR6">
        <v>50197</v>
      </c>
      <c r="BS6" s="7">
        <v>50256</v>
      </c>
      <c r="BT6" s="7">
        <v>50294</v>
      </c>
      <c r="BU6" s="7">
        <v>50317</v>
      </c>
      <c r="BV6" s="7">
        <v>50338</v>
      </c>
      <c r="BW6" s="7">
        <v>50339</v>
      </c>
      <c r="BX6" s="7">
        <v>50323</v>
      </c>
      <c r="BY6" s="7">
        <v>50299</v>
      </c>
      <c r="BZ6" s="7">
        <v>50249</v>
      </c>
      <c r="CA6" s="7">
        <v>50178</v>
      </c>
      <c r="CB6" s="7">
        <v>50098</v>
      </c>
      <c r="CC6" s="7">
        <v>50000</v>
      </c>
      <c r="CD6" s="7">
        <v>49888</v>
      </c>
      <c r="CE6" s="7">
        <v>49762</v>
      </c>
      <c r="CF6" s="7">
        <v>49628</v>
      </c>
      <c r="CG6" s="7">
        <v>49491</v>
      </c>
      <c r="CH6" s="7">
        <v>49338</v>
      </c>
      <c r="CI6" s="7">
        <v>49181</v>
      </c>
      <c r="CJ6" s="7">
        <v>49025</v>
      </c>
      <c r="CK6" s="7">
        <v>48861</v>
      </c>
      <c r="CL6" s="7">
        <v>48686</v>
      </c>
      <c r="CM6" s="7">
        <v>48508</v>
      </c>
      <c r="CN6" s="7">
        <v>48331</v>
      </c>
      <c r="CO6" s="7">
        <v>48149</v>
      </c>
      <c r="CP6" s="7">
        <v>47962</v>
      </c>
      <c r="CQ6" s="7">
        <v>47784</v>
      </c>
      <c r="CR6" s="7">
        <v>47613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2D6-1A9C-4A2D-A7E4-17332EB8DD1F}">
  <dimension ref="A1:AB7"/>
  <sheetViews>
    <sheetView workbookViewId="0">
      <selection activeCell="A5" sqref="A5"/>
    </sheetView>
  </sheetViews>
  <sheetFormatPr defaultRowHeight="15" x14ac:dyDescent="0.25"/>
  <cols>
    <col min="1" max="1" width="20" customWidth="1"/>
  </cols>
  <sheetData>
    <row r="1" spans="1:28" x14ac:dyDescent="0.25">
      <c r="A1" s="2" t="s">
        <v>107</v>
      </c>
    </row>
    <row r="2" spans="1:28" s="6" customFormat="1" x14ac:dyDescent="0.25">
      <c r="A2" s="2" t="s">
        <v>106</v>
      </c>
      <c r="B2" s="5">
        <v>2024</v>
      </c>
      <c r="C2" s="5">
        <v>2025</v>
      </c>
      <c r="D2" s="5">
        <v>2026</v>
      </c>
      <c r="E2" s="5">
        <v>2027</v>
      </c>
      <c r="F2" s="5">
        <v>2028</v>
      </c>
      <c r="G2" s="5">
        <v>2029</v>
      </c>
      <c r="H2" s="5">
        <v>2030</v>
      </c>
      <c r="I2" s="5">
        <v>2031</v>
      </c>
      <c r="J2" s="5">
        <v>2032</v>
      </c>
      <c r="K2" s="5">
        <v>2033</v>
      </c>
      <c r="L2" s="5">
        <v>2034</v>
      </c>
      <c r="M2" s="5">
        <v>2035</v>
      </c>
      <c r="N2" s="5">
        <v>2036</v>
      </c>
      <c r="O2" s="5">
        <v>2037</v>
      </c>
      <c r="P2" s="5">
        <v>2038</v>
      </c>
      <c r="Q2" s="5">
        <v>2039</v>
      </c>
      <c r="R2" s="5">
        <v>2040</v>
      </c>
      <c r="S2" s="5">
        <v>2041</v>
      </c>
      <c r="T2" s="5">
        <v>2042</v>
      </c>
      <c r="U2" s="5">
        <v>2043</v>
      </c>
      <c r="V2" s="5">
        <v>2044</v>
      </c>
      <c r="W2" s="5">
        <v>2045</v>
      </c>
      <c r="X2" s="5">
        <v>2046</v>
      </c>
      <c r="Y2" s="5">
        <v>2047</v>
      </c>
      <c r="Z2" s="5">
        <v>2048</v>
      </c>
      <c r="AA2" s="5">
        <v>2049</v>
      </c>
      <c r="AB2" s="5">
        <v>2050</v>
      </c>
    </row>
    <row r="3" spans="1:28" ht="36" x14ac:dyDescent="0.25">
      <c r="A3" s="3" t="s">
        <v>110</v>
      </c>
      <c r="B3" s="1">
        <v>55.84</v>
      </c>
      <c r="C3" s="1">
        <v>55.744999999999997</v>
      </c>
      <c r="D3" s="1">
        <v>55.628999999999998</v>
      </c>
      <c r="E3" s="1">
        <v>55.497999999999998</v>
      </c>
      <c r="F3" s="1">
        <v>55.366</v>
      </c>
      <c r="G3" s="1">
        <v>55.216999999999999</v>
      </c>
      <c r="H3" s="1">
        <v>55.05</v>
      </c>
      <c r="I3" s="1">
        <v>54.878</v>
      </c>
      <c r="J3" s="1">
        <v>54.680999999999997</v>
      </c>
      <c r="K3" s="1">
        <v>54.463999999999999</v>
      </c>
      <c r="L3" s="1">
        <v>54.24</v>
      </c>
      <c r="M3" s="1">
        <v>54</v>
      </c>
      <c r="N3" s="1">
        <v>53.747999999999998</v>
      </c>
      <c r="O3" s="1">
        <v>53.485999999999997</v>
      </c>
      <c r="P3" s="1">
        <v>53.219000000000001</v>
      </c>
      <c r="Q3" s="1">
        <v>52.951999999999998</v>
      </c>
      <c r="R3" s="1">
        <v>52.671999999999997</v>
      </c>
      <c r="S3" s="1">
        <v>52.392000000000003</v>
      </c>
      <c r="T3" s="1">
        <v>52.116999999999997</v>
      </c>
      <c r="U3" s="1">
        <v>51.837000000000003</v>
      </c>
      <c r="V3" s="1">
        <v>51.551000000000002</v>
      </c>
      <c r="W3" s="1">
        <v>51.265999999999998</v>
      </c>
      <c r="X3" s="1">
        <v>50.985999999999997</v>
      </c>
      <c r="Y3" s="1">
        <v>50.704000000000001</v>
      </c>
      <c r="Z3" s="1">
        <v>50.421999999999997</v>
      </c>
      <c r="AA3" s="1">
        <v>50.154000000000003</v>
      </c>
      <c r="AB3" s="1">
        <v>49.898000000000003</v>
      </c>
    </row>
    <row r="4" spans="1:28" ht="30" x14ac:dyDescent="0.25">
      <c r="A4" s="4" t="s">
        <v>111</v>
      </c>
      <c r="C4">
        <f>LN(C3/B3)</f>
        <v>-1.7027382345823864E-3</v>
      </c>
      <c r="D4">
        <f t="shared" ref="D4:AB4" si="0">LN(D3/C3)</f>
        <v>-2.0830722061791485E-3</v>
      </c>
      <c r="E4">
        <f t="shared" si="0"/>
        <v>-2.3576639463164118E-3</v>
      </c>
      <c r="F4">
        <f t="shared" si="0"/>
        <v>-2.3812971275856414E-3</v>
      </c>
      <c r="G4">
        <f t="shared" si="0"/>
        <v>-2.6948100552497529E-3</v>
      </c>
      <c r="H4">
        <f t="shared" si="0"/>
        <v>-3.0290137155149651E-3</v>
      </c>
      <c r="I4">
        <f t="shared" si="0"/>
        <v>-3.1293235638148432E-3</v>
      </c>
      <c r="J4">
        <f t="shared" si="0"/>
        <v>-3.5962396939679944E-3</v>
      </c>
      <c r="K4">
        <f t="shared" si="0"/>
        <v>-3.9763669599971281E-3</v>
      </c>
      <c r="L4">
        <f t="shared" si="0"/>
        <v>-4.1212893187687052E-3</v>
      </c>
      <c r="M4">
        <f t="shared" si="0"/>
        <v>-4.4345970678657531E-3</v>
      </c>
      <c r="N4">
        <f t="shared" si="0"/>
        <v>-4.6775895511110901E-3</v>
      </c>
      <c r="O4">
        <f t="shared" si="0"/>
        <v>-4.8865195989655913E-3</v>
      </c>
      <c r="P4">
        <f t="shared" si="0"/>
        <v>-5.0044619697857977E-3</v>
      </c>
      <c r="Q4">
        <f t="shared" si="0"/>
        <v>-5.0296326277903501E-3</v>
      </c>
      <c r="R4">
        <f t="shared" si="0"/>
        <v>-5.3018377620170868E-3</v>
      </c>
      <c r="S4">
        <f t="shared" si="0"/>
        <v>-5.3300971388520624E-3</v>
      </c>
      <c r="T4">
        <f t="shared" si="0"/>
        <v>-5.262716793845934E-3</v>
      </c>
      <c r="U4">
        <f t="shared" si="0"/>
        <v>-5.3870111228121551E-3</v>
      </c>
      <c r="V4">
        <f t="shared" si="0"/>
        <v>-5.5325710821816408E-3</v>
      </c>
      <c r="W4">
        <f t="shared" si="0"/>
        <v>-5.5438444992007728E-3</v>
      </c>
      <c r="X4">
        <f t="shared" si="0"/>
        <v>-5.4766791820209052E-3</v>
      </c>
      <c r="Y4">
        <f t="shared" si="0"/>
        <v>-5.5462822871262807E-3</v>
      </c>
      <c r="Z4">
        <f t="shared" si="0"/>
        <v>-5.5772151766086174E-3</v>
      </c>
      <c r="AA4">
        <f t="shared" si="0"/>
        <v>-5.3293158268822071E-3</v>
      </c>
      <c r="AB4">
        <f t="shared" si="0"/>
        <v>-5.1173501511528677E-3</v>
      </c>
    </row>
    <row r="5" spans="1:28" x14ac:dyDescent="0.25">
      <c r="A5" s="4"/>
    </row>
    <row r="6" spans="1:28" ht="45" x14ac:dyDescent="0.25">
      <c r="A6" s="4" t="s">
        <v>108</v>
      </c>
      <c r="B6">
        <f>GRL!BR4</f>
        <v>56836</v>
      </c>
      <c r="C6">
        <f>B6*EXP(C4)</f>
        <v>56739.305515759304</v>
      </c>
      <c r="D6">
        <f t="shared" ref="D6:AB6" si="1">C6*EXP(D4)</f>
        <v>56621.236461318047</v>
      </c>
      <c r="E6">
        <f t="shared" si="1"/>
        <v>56487.899856733522</v>
      </c>
      <c r="F6">
        <f t="shared" si="1"/>
        <v>56353.545415472778</v>
      </c>
      <c r="G6">
        <f t="shared" si="1"/>
        <v>56201.887750716327</v>
      </c>
      <c r="H6">
        <f t="shared" si="1"/>
        <v>56031.909025787958</v>
      </c>
      <c r="I6">
        <f t="shared" si="1"/>
        <v>55856.841117478507</v>
      </c>
      <c r="J6">
        <f t="shared" si="1"/>
        <v>55656.327292263602</v>
      </c>
      <c r="K6">
        <f t="shared" si="1"/>
        <v>55435.456733524348</v>
      </c>
      <c r="L6">
        <f t="shared" si="1"/>
        <v>55207.461318051573</v>
      </c>
      <c r="M6">
        <f t="shared" si="1"/>
        <v>54963.180515759312</v>
      </c>
      <c r="N6">
        <f t="shared" si="1"/>
        <v>54706.685673352433</v>
      </c>
      <c r="O6">
        <f t="shared" si="1"/>
        <v>54440.012464183375</v>
      </c>
      <c r="P6">
        <f t="shared" si="1"/>
        <v>54168.250071633236</v>
      </c>
      <c r="Q6">
        <f t="shared" si="1"/>
        <v>53896.487679083089</v>
      </c>
      <c r="R6">
        <f t="shared" si="1"/>
        <v>53611.493409742114</v>
      </c>
      <c r="S6">
        <f t="shared" si="1"/>
        <v>53326.499140401145</v>
      </c>
      <c r="T6">
        <f t="shared" si="1"/>
        <v>53046.594054441252</v>
      </c>
      <c r="U6">
        <f t="shared" si="1"/>
        <v>52761.599785100283</v>
      </c>
      <c r="V6">
        <f t="shared" si="1"/>
        <v>52470.498495701999</v>
      </c>
      <c r="W6">
        <f t="shared" si="1"/>
        <v>52180.415042979927</v>
      </c>
      <c r="X6">
        <f t="shared" si="1"/>
        <v>51895.420773638951</v>
      </c>
      <c r="Y6">
        <f t="shared" si="1"/>
        <v>51608.390830945544</v>
      </c>
      <c r="Z6">
        <f t="shared" si="1"/>
        <v>51321.360888252129</v>
      </c>
      <c r="AA6">
        <f t="shared" si="1"/>
        <v>51048.580659025778</v>
      </c>
      <c r="AB6">
        <f t="shared" si="1"/>
        <v>50788.014469914029</v>
      </c>
    </row>
    <row r="7" spans="1:28" x14ac:dyDescent="0.25">
      <c r="A7" s="4" t="s">
        <v>109</v>
      </c>
      <c r="C7">
        <f>ROUND(C6,0)</f>
        <v>56739</v>
      </c>
      <c r="D7">
        <f t="shared" ref="D7:AB7" si="2">ROUND(D6,0)</f>
        <v>56621</v>
      </c>
      <c r="E7">
        <f t="shared" si="2"/>
        <v>56488</v>
      </c>
      <c r="F7">
        <f t="shared" si="2"/>
        <v>56354</v>
      </c>
      <c r="G7">
        <f t="shared" si="2"/>
        <v>56202</v>
      </c>
      <c r="H7">
        <f t="shared" si="2"/>
        <v>56032</v>
      </c>
      <c r="I7">
        <f t="shared" si="2"/>
        <v>55857</v>
      </c>
      <c r="J7">
        <f t="shared" si="2"/>
        <v>55656</v>
      </c>
      <c r="K7">
        <f t="shared" si="2"/>
        <v>55435</v>
      </c>
      <c r="L7">
        <f t="shared" si="2"/>
        <v>55207</v>
      </c>
      <c r="M7">
        <f t="shared" si="2"/>
        <v>54963</v>
      </c>
      <c r="N7">
        <f t="shared" si="2"/>
        <v>54707</v>
      </c>
      <c r="O7">
        <f t="shared" si="2"/>
        <v>54440</v>
      </c>
      <c r="P7">
        <f t="shared" si="2"/>
        <v>54168</v>
      </c>
      <c r="Q7">
        <f t="shared" si="2"/>
        <v>53896</v>
      </c>
      <c r="R7">
        <f t="shared" si="2"/>
        <v>53611</v>
      </c>
      <c r="S7">
        <f t="shared" si="2"/>
        <v>53326</v>
      </c>
      <c r="T7">
        <f t="shared" si="2"/>
        <v>53047</v>
      </c>
      <c r="U7">
        <f t="shared" si="2"/>
        <v>52762</v>
      </c>
      <c r="V7">
        <f t="shared" si="2"/>
        <v>52470</v>
      </c>
      <c r="W7">
        <f t="shared" si="2"/>
        <v>52180</v>
      </c>
      <c r="X7">
        <f t="shared" si="2"/>
        <v>51895</v>
      </c>
      <c r="Y7">
        <f t="shared" si="2"/>
        <v>51608</v>
      </c>
      <c r="Z7">
        <f t="shared" si="2"/>
        <v>51321</v>
      </c>
      <c r="AA7">
        <f t="shared" si="2"/>
        <v>51049</v>
      </c>
      <c r="AB7">
        <f t="shared" si="2"/>
        <v>50788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FD3231B63042B502E3452C3AF10C" ma:contentTypeVersion="13" ma:contentTypeDescription="Create a new document." ma:contentTypeScope="" ma:versionID="5a564487c8085b8532e7d2c8121cc1f1">
  <xsd:schema xmlns:xsd="http://www.w3.org/2001/XMLSchema" xmlns:xs="http://www.w3.org/2001/XMLSchema" xmlns:p="http://schemas.microsoft.com/office/2006/metadata/properties" xmlns:ns2="5d7f5f99-7100-4efa-a8cd-b7903ed1e48d" xmlns:ns3="0376c9d7-1e56-4656-94a8-819c5f4b244c" targetNamespace="http://schemas.microsoft.com/office/2006/metadata/properties" ma:root="true" ma:fieldsID="0740aa9bb95a172b7acdc5d342f6f56d" ns2:_="" ns3:_="">
    <xsd:import namespace="5d7f5f99-7100-4efa-a8cd-b7903ed1e48d"/>
    <xsd:import namespace="0376c9d7-1e56-4656-94a8-819c5f4b2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f5f99-7100-4efa-a8cd-b7903ed1e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c9d7-1e56-4656-94a8-819c5f4b24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004a7c-9f40-4ec7-be39-d4970da3f16d}" ma:internalName="TaxCatchAll" ma:showField="CatchAllData" ma:web="0376c9d7-1e56-4656-94a8-819c5f4b2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7f5f99-7100-4efa-a8cd-b7903ed1e48d">
      <Terms xmlns="http://schemas.microsoft.com/office/infopath/2007/PartnerControls"/>
    </lcf76f155ced4ddcb4097134ff3c332f>
    <TaxCatchAll xmlns="0376c9d7-1e56-4656-94a8-819c5f4b244c" xsi:nil="true"/>
  </documentManagement>
</p:properties>
</file>

<file path=customXml/itemProps1.xml><?xml version="1.0" encoding="utf-8"?>
<ds:datastoreItem xmlns:ds="http://schemas.openxmlformats.org/officeDocument/2006/customXml" ds:itemID="{960172C8-627C-41EA-A2B2-82EFF859A069}"/>
</file>

<file path=customXml/itemProps2.xml><?xml version="1.0" encoding="utf-8"?>
<ds:datastoreItem xmlns:ds="http://schemas.openxmlformats.org/officeDocument/2006/customXml" ds:itemID="{08E13773-1317-4F48-9F44-9D2872E22A28}"/>
</file>

<file path=customXml/itemProps3.xml><?xml version="1.0" encoding="utf-8"?>
<ds:datastoreItem xmlns:ds="http://schemas.openxmlformats.org/officeDocument/2006/customXml" ds:itemID="{FADA4396-B362-4B1F-8F9E-2D4A546A3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GRL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 Suzuki</cp:lastModifiedBy>
  <dcterms:modified xsi:type="dcterms:W3CDTF">2026-03-27T14:32:33Z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2026-03-27T13:55:59Z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c3747b79-ffe8-4a5d-b652-c827e705de89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0x01010088F6FD3231B63042B502E3452C3AF10C</vt:lpwstr>
  </property>
</Properties>
</file>